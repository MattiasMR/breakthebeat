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GRAMA DEL TORNEO FINAL" sheetId="1" r:id="rId4"/>
    <sheet state="visible" name="PRESUPUESTO (Falta corregir)" sheetId="2" r:id="rId5"/>
    <sheet state="visible" name="DESGLOSE DE EQUIPOS" sheetId="3" r:id="rId6"/>
  </sheets>
  <definedNames/>
  <calcPr/>
  <extLst>
    <ext uri="GoogleSheetsCustomDataVersion2">
      <go:sheetsCustomData xmlns:go="http://customooxmlschemas.google.com/" r:id="rId7" roundtripDataChecksum="mdIkHktuywaI5VqKa9j4mO3Lw1mEKtR36rN821+6Lgg="/>
    </ext>
  </extLst>
</workbook>
</file>

<file path=xl/sharedStrings.xml><?xml version="1.0" encoding="utf-8"?>
<sst xmlns="http://schemas.openxmlformats.org/spreadsheetml/2006/main" count="133" uniqueCount="118">
  <si>
    <t>CRONOGRAMA DEL MONTAJE Y TORNEO</t>
  </si>
  <si>
    <t>28 de Septiembre - BREAK THE BEAT 2DA EDICIÓN</t>
  </si>
  <si>
    <t>Hora</t>
  </si>
  <si>
    <t>Actividad</t>
  </si>
  <si>
    <t>Detalles</t>
  </si>
  <si>
    <t>Duración Estimada</t>
  </si>
  <si>
    <t>06h00 - 06h45</t>
  </si>
  <si>
    <t>Llegada del Staff</t>
  </si>
  <si>
    <r>
      <rPr>
        <rFont val="Arial"/>
        <b/>
        <color theme="1"/>
      </rPr>
      <t>Ubicación:</t>
    </r>
    <r>
      <rPr>
        <rFont val="Arial"/>
        <color theme="1"/>
      </rPr>
      <t xml:space="preserve"> Plaza de los Teatros
</t>
    </r>
    <r>
      <rPr>
        <rFont val="Arial"/>
        <b/>
        <color theme="1"/>
      </rPr>
      <t>Participantes:</t>
    </r>
    <r>
      <rPr>
        <rFont val="Arial"/>
        <color theme="1"/>
      </rPr>
      <t xml:space="preserve"> Dayana Samaniego, Dominique Suquilanda, Trhiana Parrales, Carla Cedeño, Luis Marcillo, Eduardo Sebastián, Jimmy Bedoya, Kevin Vargas</t>
    </r>
  </si>
  <si>
    <t>45 minutos</t>
  </si>
  <si>
    <t>07h00 - 08h30</t>
  </si>
  <si>
    <t>Montaje y llegada del DJ (Llegada del DJ 07h30)</t>
  </si>
  <si>
    <r>
      <rPr>
        <rFont val="Arial"/>
        <b/>
        <color theme="1"/>
      </rPr>
      <t>Ubicación:</t>
    </r>
    <r>
      <rPr>
        <rFont val="Arial"/>
        <color theme="1"/>
      </rPr>
      <t xml:space="preserve"> Plaza de los Teatros
</t>
    </r>
    <r>
      <rPr>
        <rFont val="Arial"/>
        <b/>
        <color theme="1"/>
      </rPr>
      <t>Participantes:</t>
    </r>
    <r>
      <rPr>
        <rFont val="Arial"/>
        <color theme="1"/>
      </rPr>
      <t xml:space="preserve"> Dayana Samaniego, Dominique Suquilanda, Trhiana Parrales, Carla Cedeño, Luis Marcillo, Eduardo Sebastián, Jimmy Bedoya, Vicente Chiriboga (DJ), Kevin Vargas
</t>
    </r>
    <r>
      <rPr>
        <rFont val="Arial"/>
        <b/>
        <color theme="1"/>
      </rPr>
      <t>Actividades de Montaje:</t>
    </r>
    <r>
      <rPr>
        <rFont val="Arial"/>
        <color theme="1"/>
      </rPr>
      <t xml:space="preserve">
- Revisión y prueba de equipo técnico (Sonido, transmisión, luces)
- Montaje de la tarima
- Montaje de la mesa de jurado
- Montaje del equipo técnico (Parlantes, micrófonos, pantallas, equipo del DJ, etc).
- Montaje del escenario (Plataforma, Lona)
- Decoración (Spot de fotos, etc)
- Instalación de Zona de registro, merchandising, comida y bebida</t>
    </r>
  </si>
  <si>
    <t>1h30min</t>
  </si>
  <si>
    <t>08h00 - 08h45</t>
  </si>
  <si>
    <t>LLegada y Ensayo del Host</t>
  </si>
  <si>
    <r>
      <rPr>
        <rFont val="Arial"/>
        <b/>
        <color theme="1"/>
      </rPr>
      <t>Ubicación:</t>
    </r>
    <r>
      <rPr>
        <rFont val="Arial"/>
        <color theme="1"/>
      </rPr>
      <t xml:space="preserve"> Plaza de los Teatros
</t>
    </r>
    <r>
      <rPr>
        <rFont val="Arial"/>
        <b/>
        <color theme="1"/>
      </rPr>
      <t>Participantes:</t>
    </r>
    <r>
      <rPr>
        <rFont val="Arial"/>
        <color theme="1"/>
      </rPr>
      <t xml:space="preserve"> Bryan Perico Hernandez</t>
    </r>
  </si>
  <si>
    <t>08h45 - 09h20</t>
  </si>
  <si>
    <t>Ensayo del Host</t>
  </si>
  <si>
    <r>
      <rPr>
        <rFont val="Arial"/>
        <b/>
        <color theme="1"/>
      </rPr>
      <t>Ubicación:</t>
    </r>
    <r>
      <rPr>
        <rFont val="Arial"/>
        <color theme="1"/>
      </rPr>
      <t xml:space="preserve"> Plaza de los Teatros
</t>
    </r>
    <r>
      <rPr>
        <rFont val="Arial"/>
        <b/>
        <color theme="1"/>
      </rPr>
      <t>Participantes:</t>
    </r>
    <r>
      <rPr>
        <rFont val="Arial"/>
        <color theme="1"/>
      </rPr>
      <t xml:space="preserve"> Bryan Perico Hernandez</t>
    </r>
  </si>
  <si>
    <t>35 minutos</t>
  </si>
  <si>
    <t>08h30 - 09h00</t>
  </si>
  <si>
    <t>LLegada del Jurado</t>
  </si>
  <si>
    <r>
      <rPr>
        <rFont val="Arial"/>
        <b/>
        <color theme="1"/>
      </rPr>
      <t>Ubicación:</t>
    </r>
    <r>
      <rPr>
        <rFont val="Arial"/>
        <color theme="1"/>
      </rPr>
      <t xml:space="preserve"> Plaza de los Teatros
</t>
    </r>
    <r>
      <rPr>
        <rFont val="Arial"/>
        <b/>
        <color theme="1"/>
      </rPr>
      <t>Participantes:</t>
    </r>
    <r>
      <rPr>
        <rFont val="Arial"/>
        <color theme="1"/>
      </rPr>
      <t xml:space="preserve"> Isis Granda, Wahid y Foro</t>
    </r>
  </si>
  <si>
    <t>30 minutos</t>
  </si>
  <si>
    <t>09h30 - 09h55</t>
  </si>
  <si>
    <t>Llegada de los participantes</t>
  </si>
  <si>
    <t>2do Ensayo del Host</t>
  </si>
  <si>
    <t>25 minutos</t>
  </si>
  <si>
    <t>10h00 - 10h30</t>
  </si>
  <si>
    <t>Apertura del evento</t>
  </si>
  <si>
    <r>
      <rPr>
        <rFont val="Arial"/>
        <color theme="1"/>
      </rPr>
      <t xml:space="preserve">El host sube al escenario para dar inicio oficial al evento. Las acciones incluyen:
</t>
    </r>
    <r>
      <rPr>
        <rFont val="Arial"/>
        <b/>
        <color theme="1"/>
      </rPr>
      <t xml:space="preserve">1. Presentación personal del host. (Entra bailando y luego se presenta verbalmente)
2. Bienvenida al público, bailarines y staff.
3. Explicación del torneo "Break The Beat"(para quienes desconocen el proyecto):
</t>
    </r>
    <r>
      <rPr>
        <rFont val="Arial"/>
        <color theme="1"/>
      </rPr>
      <t xml:space="preserve">   * Qué es.
   * Por qué se creó.
   * Qué se busca (visibilidad, comunidad, impulso al talento, etc.).
</t>
    </r>
    <r>
      <rPr>
        <rFont val="Arial"/>
        <b/>
        <color theme="1"/>
      </rPr>
      <t>4. Presentación del jurado:</t>
    </r>
    <r>
      <rPr>
        <rFont val="Arial"/>
        <color theme="1"/>
      </rPr>
      <t xml:space="preserve">
Nombre, ciudad/país, breve mención de trayectoria. (cada jurado entrará bailando mientras el host da su introducción) después cada que uno salga bailando dará algunas palabras de bienvenida.</t>
    </r>
  </si>
  <si>
    <t>10h30 - 10h40</t>
  </si>
  <si>
    <t>Cypher</t>
  </si>
  <si>
    <t>El host anunciará la posibilidad de que el público suba al escenaria sean participantes o no para que bailen y puedan calentar. (Después de 4 presentaciones se harán pequeñas intervenciones para mención de auspiciantes).</t>
  </si>
  <si>
    <t>10 minutos</t>
  </si>
  <si>
    <t>10h40 - 11h00</t>
  </si>
  <si>
    <t>Filtro</t>
  </si>
  <si>
    <t>Se van a escoger a los participantes que van a ir a la siguiente ronda de la competencia principal.</t>
  </si>
  <si>
    <t>20 minutos</t>
  </si>
  <si>
    <t>11h00 - 11h10</t>
  </si>
  <si>
    <t>Descanso y anuncios</t>
  </si>
  <si>
    <t>Se anunciará que en breve se iniciará la categoría 2vs2, además se anunciará con más detalle el cronograma del evento y sus secciones como batallas entre los jueces y premiaciones al mejor b-boy o a la mejor b-girl.</t>
  </si>
  <si>
    <t>11h10 - 12h00</t>
  </si>
  <si>
    <t>Batallas 2vs2 (Octavos de final)</t>
  </si>
  <si>
    <t>El host dará llamado a las batallas de 2vs2 para que los grupos participantes se vayan preparando y se da inicio a la categoría de duplas. (Después de la presentación de las 2 duplas que llegaron a la final se anunciará que el veredicto y premiación del grupo ganador se hará más tarde junto al veredicto de la 2da categoría 7 To Smoke 1vs1)</t>
  </si>
  <si>
    <t>50 minutos</t>
  </si>
  <si>
    <t>12h00 - 12h10</t>
  </si>
  <si>
    <t>Descanso y FreeStyle</t>
  </si>
  <si>
    <t>1er descanso intermedio y exhibición libre.</t>
  </si>
  <si>
    <t>12h10 - 12h35</t>
  </si>
  <si>
    <t>Batallas 2vs2 (Cuartos de final)</t>
  </si>
  <si>
    <t>Segunda parte del torneo 2vs2</t>
  </si>
  <si>
    <t>12h35 - 12h45</t>
  </si>
  <si>
    <t>Descanso y Trucos de BreakDance</t>
  </si>
  <si>
    <t>2do descanso intermedio y trucos de breakdance</t>
  </si>
  <si>
    <t>12h45 - 13h15</t>
  </si>
  <si>
    <t>7 To Smoke (1vs1)</t>
  </si>
  <si>
    <t>Se da llamada al escenario para empezar el torneo de 1vs1</t>
  </si>
  <si>
    <t>13h15 - 13h30</t>
  </si>
  <si>
    <t>Almuerzos y Concurso</t>
  </si>
  <si>
    <t>Hora de almuerzo y durante los 15 minutos del almuerzo el público en general harán una dinámica en redes sociales donde deben etiquetarnos en redes en las historias de ig, los jueces decidirán al ganador por la foto más creativa.</t>
  </si>
  <si>
    <t>15 minutos</t>
  </si>
  <si>
    <t>13h30- 13h45</t>
  </si>
  <si>
    <t>Semifinal 2vs2</t>
  </si>
  <si>
    <t>Se da inicio a la semifinal del 2vs2.</t>
  </si>
  <si>
    <t>13h45 - 13h55</t>
  </si>
  <si>
    <t>3er descanso intermedio</t>
  </si>
  <si>
    <t>13h55 - 14h05</t>
  </si>
  <si>
    <t>Final del 2vs2</t>
  </si>
  <si>
    <t>14h05 - 14h15</t>
  </si>
  <si>
    <t>Premiación al mejor B-Boy o B-Girl</t>
  </si>
  <si>
    <t>Se nombrará y premiará al mejor B-Boy o B-Girl del evento.</t>
  </si>
  <si>
    <t>14h15 - 14h55</t>
  </si>
  <si>
    <t>Premiaciones de las 2 categorías</t>
  </si>
  <si>
    <r>
      <rPr>
        <rFont val="Arial"/>
        <b/>
        <color theme="1"/>
      </rPr>
      <t>Ubicación:</t>
    </r>
    <r>
      <rPr>
        <rFont val="Arial"/>
        <color theme="1"/>
      </rPr>
      <t xml:space="preserve"> Plaza de los Teatros
</t>
    </r>
    <r>
      <rPr>
        <rFont val="Arial"/>
        <b/>
        <color theme="1"/>
      </rPr>
      <t>Participantes:</t>
    </r>
    <r>
      <rPr>
        <rFont val="Arial"/>
        <color theme="1"/>
      </rPr>
      <t xml:space="preserve"> Dayana Samaniego, Dominique Suquilanda, Trhiana Parrales, Carla Cedeño, Luis Marcillo, Eduardo Sebastián, Jimmy Bedoya, Kevin Vargas</t>
    </r>
  </si>
  <si>
    <t>40 minutos</t>
  </si>
  <si>
    <t>14h55 - 15h25</t>
  </si>
  <si>
    <t>Entrevistas, fotos y videos para redes sociales con los ganadores y el Crew del evento</t>
  </si>
  <si>
    <t>Se realizarán entrevistas, fotos y videos para redes sociales con los gaandores de cada categoría.</t>
  </si>
  <si>
    <t>15h25 - 15h30</t>
  </si>
  <si>
    <t>Despedida</t>
  </si>
  <si>
    <t>Se da cierre al evento</t>
  </si>
  <si>
    <t>5 minutos</t>
  </si>
  <si>
    <t>15h30 - 16h30</t>
  </si>
  <si>
    <t>Desmontaje</t>
  </si>
  <si>
    <t>Desmontaje de todo el equipo</t>
  </si>
  <si>
    <t>1 hora</t>
  </si>
  <si>
    <t>Material/personal</t>
  </si>
  <si>
    <t>Cantidad</t>
  </si>
  <si>
    <t>Precio Unitario</t>
  </si>
  <si>
    <t>Precio Total</t>
  </si>
  <si>
    <t>Jurados</t>
  </si>
  <si>
    <t>Dj</t>
  </si>
  <si>
    <t>Host</t>
  </si>
  <si>
    <t>Backing</t>
  </si>
  <si>
    <t>Roll Up 80x200cm</t>
  </si>
  <si>
    <t>Sticker centro del linóleo Break the Beat</t>
  </si>
  <si>
    <t>Cheque x1</t>
  </si>
  <si>
    <t>Certificados de participación x3</t>
  </si>
  <si>
    <t>Tarima</t>
  </si>
  <si>
    <t>—</t>
  </si>
  <si>
    <t>Parlantes x3</t>
  </si>
  <si>
    <t>Micrófonos</t>
  </si>
  <si>
    <t>Mesas Jurado y DJ</t>
  </si>
  <si>
    <t>Carteles A6 (Publicidad del evento)</t>
  </si>
  <si>
    <t>Piso Linóleo</t>
  </si>
  <si>
    <t>Equipo de Parlante o microfono</t>
  </si>
  <si>
    <t>Agua embotellada</t>
  </si>
  <si>
    <t>0.45</t>
  </si>
  <si>
    <t>Merch (Camisetas)</t>
  </si>
  <si>
    <t>Total Estimado</t>
  </si>
  <si>
    <t>Potencial estimado</t>
  </si>
  <si>
    <t>Equipo Visual</t>
  </si>
  <si>
    <t>Equipo de Audio</t>
  </si>
  <si>
    <t>Equipo de Iluminación</t>
  </si>
  <si>
    <t>Prestado</t>
  </si>
  <si>
    <t>Propio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</si>
</sst>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font>
      <color theme="1"/>
      <name val="Arial"/>
    </font>
    <font>
      <b/>
      <sz val="11.0"/>
      <color rgb="FF000000"/>
      <name val="Arial"/>
    </font>
  </fonts>
  <fills count="7">
    <fill>
      <patternFill patternType="none"/>
    </fill>
    <fill>
      <patternFill patternType="lightGray"/>
    </fill>
    <fill>
      <patternFill patternType="solid">
        <fgColor rgb="FFD81B60"/>
        <bgColor rgb="FFD81B60"/>
      </patternFill>
    </fill>
    <fill>
      <patternFill patternType="solid">
        <fgColor rgb="FFEC407A"/>
        <bgColor rgb="FFEC407A"/>
      </patternFill>
    </fill>
    <fill>
      <patternFill patternType="solid">
        <fgColor rgb="FFF48FB1"/>
        <bgColor rgb="FFF48FB1"/>
      </patternFill>
    </fill>
    <fill>
      <patternFill patternType="solid">
        <fgColor rgb="FF00FF00"/>
        <bgColor rgb="FF00FF00"/>
      </patternFill>
    </fill>
    <fill>
      <patternFill patternType="solid">
        <fgColor rgb="FF6FA8DC"/>
        <bgColor rgb="FF6FA8D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xf>
    <xf borderId="4" fillId="4" fontId="1" numFmtId="0" xfId="0" applyAlignment="1" applyBorder="1" applyFill="1" applyFont="1">
      <alignment horizontal="center"/>
    </xf>
    <xf borderId="4" fillId="4" fontId="1"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3" numFmtId="0" xfId="0" applyAlignment="1" applyBorder="1" applyFont="1">
      <alignment shrinkToFit="0" vertical="center" wrapText="1"/>
    </xf>
    <xf borderId="4" fillId="0" fontId="3" numFmtId="0" xfId="0" applyAlignment="1" applyBorder="1" applyFont="1">
      <alignment vertical="center"/>
    </xf>
    <xf borderId="4" fillId="0" fontId="3" numFmtId="0" xfId="0" applyAlignment="1" applyBorder="1" applyFont="1">
      <alignment horizontal="center" vertical="center"/>
    </xf>
    <xf borderId="0" fillId="0" fontId="3" numFmtId="0" xfId="0" applyAlignment="1" applyFont="1">
      <alignment horizontal="center"/>
    </xf>
    <xf borderId="4" fillId="0" fontId="3" numFmtId="0" xfId="0" applyAlignment="1" applyBorder="1" applyFont="1">
      <alignment horizontal="left" vertical="center"/>
    </xf>
    <xf borderId="4" fillId="0" fontId="3" numFmtId="0" xfId="0" applyAlignment="1" applyBorder="1" applyFont="1">
      <alignment horizontal="left" shrinkToFit="0" vertical="center" wrapText="1"/>
    </xf>
    <xf borderId="0" fillId="0" fontId="3" numFmtId="0" xfId="0" applyAlignment="1" applyFont="1">
      <alignment horizontal="center" vertical="center"/>
    </xf>
    <xf borderId="4" fillId="3" fontId="4" numFmtId="0" xfId="0" applyAlignment="1" applyBorder="1" applyFont="1">
      <alignment horizontal="left" shrinkToFit="0" wrapText="1"/>
    </xf>
    <xf borderId="4" fillId="0" fontId="4" numFmtId="0" xfId="0" applyAlignment="1" applyBorder="1" applyFont="1">
      <alignment horizontal="left" shrinkToFit="0" wrapText="1"/>
    </xf>
    <xf borderId="4" fillId="0" fontId="3" numFmtId="0" xfId="0" applyAlignment="1" applyBorder="1" applyFont="1">
      <alignment horizontal="left" shrinkToFit="0" vertical="top" wrapText="1"/>
    </xf>
    <xf borderId="4" fillId="5" fontId="4" numFmtId="0" xfId="0" applyAlignment="1" applyBorder="1" applyFill="1" applyFont="1">
      <alignment horizontal="left" shrinkToFit="0" wrapText="1"/>
    </xf>
    <xf borderId="4" fillId="5" fontId="3" numFmtId="0" xfId="0" applyAlignment="1" applyBorder="1" applyFont="1">
      <alignment horizontal="left" shrinkToFit="0" vertical="top" wrapText="1"/>
    </xf>
    <xf borderId="4" fillId="0" fontId="4" numFmtId="3" xfId="0" applyAlignment="1" applyBorder="1" applyFont="1" applyNumberFormat="1">
      <alignment horizontal="left" shrinkToFit="0" wrapText="1"/>
    </xf>
    <xf borderId="0" fillId="3" fontId="1" numFmtId="0" xfId="0" applyAlignment="1" applyFont="1">
      <alignment horizontal="center" vertical="center"/>
    </xf>
    <xf borderId="4" fillId="0" fontId="3" numFmtId="0" xfId="0" applyBorder="1" applyFont="1"/>
    <xf borderId="4" fillId="6" fontId="3" numFmtId="0" xfId="0" applyBorder="1" applyFill="1" applyFont="1"/>
    <xf borderId="4" fillId="4"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25"/>
    <col customWidth="1" min="2" max="2" width="45.25"/>
    <col customWidth="1" min="3" max="3" width="111.25"/>
    <col customWidth="1" min="4" max="4" width="20.63"/>
  </cols>
  <sheetData>
    <row r="1" ht="15.75" customHeight="1">
      <c r="A1" s="1" t="s">
        <v>0</v>
      </c>
      <c r="B1" s="2"/>
      <c r="C1" s="2"/>
      <c r="D1" s="3"/>
    </row>
    <row r="2" ht="15.75" customHeight="1">
      <c r="A2" s="4" t="s">
        <v>1</v>
      </c>
      <c r="B2" s="2"/>
      <c r="C2" s="2"/>
      <c r="D2" s="3"/>
    </row>
    <row r="3" ht="15.75" customHeight="1">
      <c r="A3" s="5" t="s">
        <v>2</v>
      </c>
      <c r="B3" s="5" t="s">
        <v>3</v>
      </c>
      <c r="C3" s="5" t="s">
        <v>4</v>
      </c>
      <c r="D3" s="6" t="s">
        <v>5</v>
      </c>
    </row>
    <row r="4" ht="52.5" customHeight="1">
      <c r="A4" s="7" t="s">
        <v>6</v>
      </c>
      <c r="B4" s="7" t="s">
        <v>7</v>
      </c>
      <c r="C4" s="8" t="s">
        <v>8</v>
      </c>
      <c r="D4" s="9" t="s">
        <v>9</v>
      </c>
    </row>
    <row r="5" ht="39.75" customHeight="1">
      <c r="A5" s="10" t="s">
        <v>10</v>
      </c>
      <c r="B5" s="10" t="s">
        <v>11</v>
      </c>
      <c r="C5" s="8" t="s">
        <v>12</v>
      </c>
      <c r="D5" s="9" t="s">
        <v>13</v>
      </c>
    </row>
    <row r="6" ht="47.25" customHeight="1">
      <c r="A6" s="10" t="s">
        <v>14</v>
      </c>
      <c r="B6" s="10" t="s">
        <v>15</v>
      </c>
      <c r="C6" s="8" t="s">
        <v>16</v>
      </c>
      <c r="D6" s="9" t="s">
        <v>9</v>
      </c>
    </row>
    <row r="7" ht="48.0" customHeight="1">
      <c r="A7" s="10" t="s">
        <v>17</v>
      </c>
      <c r="B7" s="10" t="s">
        <v>18</v>
      </c>
      <c r="C7" s="8" t="s">
        <v>19</v>
      </c>
      <c r="D7" s="9" t="s">
        <v>20</v>
      </c>
    </row>
    <row r="8" ht="37.5" customHeight="1">
      <c r="A8" s="10" t="s">
        <v>21</v>
      </c>
      <c r="B8" s="10" t="s">
        <v>22</v>
      </c>
      <c r="C8" s="8" t="s">
        <v>23</v>
      </c>
      <c r="D8" s="9" t="s">
        <v>24</v>
      </c>
    </row>
    <row r="9" ht="15.75" customHeight="1">
      <c r="A9" s="10" t="s">
        <v>25</v>
      </c>
      <c r="B9" s="10" t="s">
        <v>26</v>
      </c>
      <c r="C9" s="9" t="s">
        <v>27</v>
      </c>
      <c r="D9" s="9" t="s">
        <v>28</v>
      </c>
    </row>
    <row r="10" ht="15.75" customHeight="1">
      <c r="A10" s="10" t="s">
        <v>29</v>
      </c>
      <c r="B10" s="10" t="s">
        <v>30</v>
      </c>
      <c r="C10" s="8" t="s">
        <v>31</v>
      </c>
      <c r="D10" s="9" t="s">
        <v>24</v>
      </c>
    </row>
    <row r="11" ht="34.5" customHeight="1">
      <c r="A11" s="10" t="s">
        <v>32</v>
      </c>
      <c r="B11" s="10" t="s">
        <v>33</v>
      </c>
      <c r="C11" s="8" t="s">
        <v>34</v>
      </c>
      <c r="D11" s="9" t="s">
        <v>35</v>
      </c>
    </row>
    <row r="12" ht="15.75" customHeight="1">
      <c r="A12" s="10" t="s">
        <v>36</v>
      </c>
      <c r="B12" s="10" t="s">
        <v>37</v>
      </c>
      <c r="C12" s="8" t="s">
        <v>38</v>
      </c>
      <c r="D12" s="9" t="s">
        <v>39</v>
      </c>
    </row>
    <row r="13" ht="33.75" customHeight="1">
      <c r="A13" s="10" t="s">
        <v>40</v>
      </c>
      <c r="B13" s="10" t="s">
        <v>41</v>
      </c>
      <c r="C13" s="8" t="s">
        <v>42</v>
      </c>
      <c r="D13" s="9" t="s">
        <v>35</v>
      </c>
    </row>
    <row r="14" ht="39.0" customHeight="1">
      <c r="A14" s="10" t="s">
        <v>43</v>
      </c>
      <c r="B14" s="10" t="s">
        <v>44</v>
      </c>
      <c r="C14" s="8" t="s">
        <v>45</v>
      </c>
      <c r="D14" s="9" t="s">
        <v>46</v>
      </c>
    </row>
    <row r="15" ht="15.75" customHeight="1">
      <c r="A15" s="10" t="s">
        <v>47</v>
      </c>
      <c r="B15" s="7" t="s">
        <v>48</v>
      </c>
      <c r="C15" s="8" t="s">
        <v>49</v>
      </c>
      <c r="D15" s="9" t="s">
        <v>35</v>
      </c>
    </row>
    <row r="16" ht="15.75" customHeight="1">
      <c r="A16" s="10" t="s">
        <v>50</v>
      </c>
      <c r="B16" s="7" t="s">
        <v>51</v>
      </c>
      <c r="C16" s="8" t="s">
        <v>52</v>
      </c>
      <c r="D16" s="9" t="s">
        <v>28</v>
      </c>
    </row>
    <row r="17" ht="15.75" customHeight="1">
      <c r="A17" s="10" t="s">
        <v>53</v>
      </c>
      <c r="B17" s="7" t="s">
        <v>54</v>
      </c>
      <c r="C17" s="9" t="s">
        <v>55</v>
      </c>
      <c r="D17" s="9" t="s">
        <v>35</v>
      </c>
    </row>
    <row r="18" ht="15.75" customHeight="1">
      <c r="A18" s="10" t="s">
        <v>56</v>
      </c>
      <c r="B18" s="10" t="s">
        <v>57</v>
      </c>
      <c r="C18" s="9" t="s">
        <v>58</v>
      </c>
      <c r="D18" s="9" t="s">
        <v>24</v>
      </c>
    </row>
    <row r="19" ht="29.25" customHeight="1">
      <c r="A19" s="10" t="s">
        <v>59</v>
      </c>
      <c r="B19" s="10" t="s">
        <v>60</v>
      </c>
      <c r="C19" s="8" t="s">
        <v>61</v>
      </c>
      <c r="D19" s="9" t="s">
        <v>62</v>
      </c>
    </row>
    <row r="20" ht="15.75" customHeight="1">
      <c r="A20" s="10" t="s">
        <v>63</v>
      </c>
      <c r="B20" s="7" t="s">
        <v>64</v>
      </c>
      <c r="C20" s="8" t="s">
        <v>65</v>
      </c>
      <c r="D20" s="9" t="s">
        <v>62</v>
      </c>
    </row>
    <row r="21" ht="15.75" customHeight="1">
      <c r="A21" s="10" t="s">
        <v>66</v>
      </c>
      <c r="B21" s="11" t="s">
        <v>54</v>
      </c>
      <c r="C21" s="9" t="s">
        <v>67</v>
      </c>
      <c r="D21" s="9" t="s">
        <v>35</v>
      </c>
    </row>
    <row r="22" ht="15.75" customHeight="1">
      <c r="A22" s="10" t="s">
        <v>68</v>
      </c>
      <c r="B22" s="10" t="s">
        <v>69</v>
      </c>
      <c r="C22" s="9" t="s">
        <v>69</v>
      </c>
      <c r="D22" s="9" t="s">
        <v>35</v>
      </c>
    </row>
    <row r="23" ht="15.75" customHeight="1">
      <c r="A23" s="10" t="s">
        <v>70</v>
      </c>
      <c r="B23" s="10" t="s">
        <v>71</v>
      </c>
      <c r="C23" s="9" t="s">
        <v>72</v>
      </c>
      <c r="D23" s="9" t="s">
        <v>35</v>
      </c>
    </row>
    <row r="24" ht="42.0" customHeight="1">
      <c r="A24" s="10" t="s">
        <v>73</v>
      </c>
      <c r="B24" s="10" t="s">
        <v>74</v>
      </c>
      <c r="C24" s="8" t="s">
        <v>75</v>
      </c>
      <c r="D24" s="9" t="s">
        <v>76</v>
      </c>
    </row>
    <row r="25" ht="15.75" customHeight="1">
      <c r="A25" s="10" t="s">
        <v>77</v>
      </c>
      <c r="B25" s="7" t="s">
        <v>78</v>
      </c>
      <c r="C25" s="9" t="s">
        <v>79</v>
      </c>
      <c r="D25" s="9" t="s">
        <v>24</v>
      </c>
    </row>
    <row r="26" ht="15.75" customHeight="1">
      <c r="A26" s="10" t="s">
        <v>80</v>
      </c>
      <c r="B26" s="10" t="s">
        <v>81</v>
      </c>
      <c r="C26" s="12" t="s">
        <v>82</v>
      </c>
      <c r="D26" s="12" t="s">
        <v>83</v>
      </c>
    </row>
    <row r="27" ht="15.75" customHeight="1">
      <c r="A27" s="7" t="s">
        <v>84</v>
      </c>
      <c r="B27" s="7" t="s">
        <v>85</v>
      </c>
      <c r="C27" s="13" t="s">
        <v>86</v>
      </c>
      <c r="D27" s="13" t="s">
        <v>87</v>
      </c>
    </row>
    <row r="28" ht="15.75" customHeight="1">
      <c r="B28" s="14"/>
    </row>
    <row r="29" ht="15.75" customHeight="1">
      <c r="B29" s="14"/>
    </row>
    <row r="30" ht="15.75" customHeight="1">
      <c r="B30" s="1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20.75"/>
    <col customWidth="1" min="3" max="3" width="22.13"/>
    <col customWidth="1" min="4" max="4" width="40.25"/>
  </cols>
  <sheetData>
    <row r="1" ht="15.75" customHeight="1">
      <c r="A1" s="15" t="s">
        <v>88</v>
      </c>
      <c r="B1" s="15" t="s">
        <v>89</v>
      </c>
      <c r="C1" s="15" t="s">
        <v>90</v>
      </c>
      <c r="D1" s="15" t="s">
        <v>91</v>
      </c>
    </row>
    <row r="2" ht="15.75" customHeight="1">
      <c r="A2" s="16" t="s">
        <v>92</v>
      </c>
      <c r="B2" s="16">
        <v>3.0</v>
      </c>
      <c r="C2" s="16">
        <v>100.0</v>
      </c>
      <c r="D2" s="16">
        <v>300.0</v>
      </c>
    </row>
    <row r="3" ht="15.75" customHeight="1">
      <c r="A3" s="16" t="s">
        <v>93</v>
      </c>
      <c r="B3" s="16">
        <v>1.0</v>
      </c>
      <c r="C3" s="16">
        <v>200.0</v>
      </c>
      <c r="D3" s="16">
        <v>175.0</v>
      </c>
    </row>
    <row r="4" ht="15.75" customHeight="1">
      <c r="A4" s="16" t="s">
        <v>94</v>
      </c>
      <c r="B4" s="16">
        <v>1.0</v>
      </c>
      <c r="C4" s="16">
        <v>100.0</v>
      </c>
      <c r="D4" s="16">
        <v>120.0</v>
      </c>
    </row>
    <row r="5" ht="15.75" customHeight="1">
      <c r="A5" s="16" t="s">
        <v>95</v>
      </c>
      <c r="B5" s="16">
        <v>1.0</v>
      </c>
      <c r="C5" s="16">
        <v>40.0</v>
      </c>
      <c r="D5" s="16">
        <v>40.0</v>
      </c>
    </row>
    <row r="6" ht="15.75" customHeight="1">
      <c r="A6" s="16" t="s">
        <v>96</v>
      </c>
      <c r="B6" s="16">
        <v>1.0</v>
      </c>
      <c r="C6" s="16">
        <v>9.0</v>
      </c>
      <c r="D6" s="16">
        <v>9.0</v>
      </c>
    </row>
    <row r="7" ht="15.75" customHeight="1">
      <c r="A7" s="16" t="s">
        <v>97</v>
      </c>
      <c r="B7" s="16">
        <v>1.0</v>
      </c>
      <c r="C7" s="16">
        <v>50.0</v>
      </c>
      <c r="D7" s="16">
        <v>50.0</v>
      </c>
    </row>
    <row r="8" ht="15.75" customHeight="1">
      <c r="A8" s="16" t="s">
        <v>98</v>
      </c>
      <c r="B8" s="16">
        <v>1.0</v>
      </c>
      <c r="C8" s="16"/>
      <c r="D8" s="17"/>
    </row>
    <row r="9" ht="15.75" customHeight="1">
      <c r="A9" s="16" t="s">
        <v>99</v>
      </c>
      <c r="B9" s="16">
        <v>3.0</v>
      </c>
      <c r="C9" s="16">
        <v>5.0</v>
      </c>
      <c r="D9" s="16">
        <v>5.0</v>
      </c>
    </row>
    <row r="10" ht="15.75" customHeight="1">
      <c r="A10" s="18" t="s">
        <v>100</v>
      </c>
      <c r="B10" s="18" t="s">
        <v>101</v>
      </c>
      <c r="C10" s="19"/>
      <c r="D10" s="19"/>
    </row>
    <row r="11" ht="15.75" customHeight="1">
      <c r="A11" s="18" t="s">
        <v>102</v>
      </c>
      <c r="B11" s="18">
        <v>3.0</v>
      </c>
      <c r="C11" s="18"/>
      <c r="D11" s="19"/>
    </row>
    <row r="12" ht="15.75" customHeight="1">
      <c r="A12" s="18" t="s">
        <v>103</v>
      </c>
      <c r="B12" s="18" t="s">
        <v>101</v>
      </c>
      <c r="C12" s="19"/>
      <c r="D12" s="19"/>
    </row>
    <row r="13" ht="15.75" customHeight="1">
      <c r="A13" s="18" t="s">
        <v>104</v>
      </c>
      <c r="B13" s="19"/>
      <c r="C13" s="19"/>
      <c r="D13" s="19"/>
    </row>
    <row r="14" ht="15.75" customHeight="1">
      <c r="A14" s="16" t="s">
        <v>105</v>
      </c>
      <c r="B14" s="16">
        <v>20.0</v>
      </c>
      <c r="C14" s="16">
        <v>3.5</v>
      </c>
      <c r="D14" s="16">
        <f>B14*C14</f>
        <v>70</v>
      </c>
    </row>
    <row r="15" ht="15.75" customHeight="1">
      <c r="A15" s="16" t="s">
        <v>106</v>
      </c>
      <c r="B15" s="17">
        <v>1.0</v>
      </c>
      <c r="C15" s="16">
        <v>80.0</v>
      </c>
      <c r="D15" s="16">
        <v>80.0</v>
      </c>
    </row>
    <row r="16" ht="15.75" customHeight="1">
      <c r="A16" s="18" t="s">
        <v>107</v>
      </c>
      <c r="B16" s="19"/>
      <c r="C16" s="19"/>
      <c r="D16" s="19"/>
    </row>
    <row r="17" ht="15.75" customHeight="1">
      <c r="A17" s="16" t="s">
        <v>108</v>
      </c>
      <c r="B17" s="16">
        <v>50.0</v>
      </c>
      <c r="C17" s="16" t="s">
        <v>109</v>
      </c>
      <c r="D17" s="16">
        <v>22.5</v>
      </c>
    </row>
    <row r="18" ht="15.75" customHeight="1">
      <c r="A18" s="16" t="s">
        <v>110</v>
      </c>
      <c r="B18" s="16">
        <v>15.0</v>
      </c>
      <c r="C18" s="16">
        <v>7.5</v>
      </c>
      <c r="D18" s="16">
        <v>112.5</v>
      </c>
    </row>
    <row r="19" ht="15.75" customHeight="1">
      <c r="A19" s="16"/>
      <c r="B19" s="17"/>
      <c r="C19" s="17"/>
      <c r="D19" s="17"/>
    </row>
    <row r="20" ht="15.75" customHeight="1">
      <c r="A20" s="17"/>
      <c r="B20" s="17"/>
      <c r="C20" s="16" t="s">
        <v>111</v>
      </c>
      <c r="D20" s="20">
        <f>SUM(D2:D18)</f>
        <v>984</v>
      </c>
    </row>
    <row r="21" ht="15.75" customHeight="1">
      <c r="A21" s="17"/>
      <c r="B21" s="17"/>
      <c r="C21" s="16" t="s">
        <v>112</v>
      </c>
      <c r="D21" s="20">
        <v>1000.0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0"/>
    <col customWidth="1" min="2" max="2" width="33.13"/>
    <col customWidth="1" min="3" max="3" width="38.38"/>
  </cols>
  <sheetData>
    <row r="1" ht="15.75" customHeight="1">
      <c r="A1" s="21" t="s">
        <v>113</v>
      </c>
      <c r="B1" s="21" t="s">
        <v>114</v>
      </c>
      <c r="C1" s="21" t="s">
        <v>115</v>
      </c>
    </row>
    <row r="2" ht="15.75" customHeight="1"/>
    <row r="3" ht="15.75" customHeight="1">
      <c r="E3" s="22" t="s">
        <v>116</v>
      </c>
      <c r="F3" s="23"/>
    </row>
    <row r="4" ht="15.75" customHeight="1">
      <c r="E4" s="22" t="s">
        <v>117</v>
      </c>
      <c r="F4" s="24"/>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